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ФИО студента</t>
        </is>
      </c>
      <c r="C1" t="inlineStr">
        <is>
          <t>Балл 1 (тест)</t>
        </is>
      </c>
      <c r="D1" t="inlineStr">
        <is>
          <t>Балл 2 (практика)</t>
        </is>
      </c>
      <c r="E1" t="inlineStr">
        <is>
          <t>Балл 3 (проект)</t>
        </is>
      </c>
      <c r="F1" t="inlineStr">
        <is>
          <t>Сумма баллов</t>
        </is>
      </c>
      <c r="G1" t="inlineStr">
        <is>
          <t>Средний балл</t>
        </is>
      </c>
      <c r="H1" t="inlineStr">
        <is>
          <t>Оценка</t>
        </is>
      </c>
      <c r="I1" t="inlineStr">
        <is>
          <t>Ранг</t>
        </is>
      </c>
    </row>
    <row r="2">
      <c r="A2" t="n">
        <v>1</v>
      </c>
      <c r="B2" t="inlineStr">
        <is>
          <t>Иванов И.И.</t>
        </is>
      </c>
      <c r="C2" t="n">
        <v>85</v>
      </c>
      <c r="D2" t="n">
        <v>78</v>
      </c>
      <c r="E2" t="n">
        <v>92</v>
      </c>
      <c r="F2">
        <f>SUM(C2:E2)</f>
        <v/>
      </c>
      <c r="G2">
        <f>AVERAGE(C2:E2)</f>
        <v/>
      </c>
      <c r="H2">
        <f>IF(G2&gt;=90,5,IF(G2&gt;=75,4,IF(G2&gt;=60,3,2)))</f>
        <v/>
      </c>
      <c r="I2">
        <f>RANK.EQ(G2,$G$2:$G$16,0)</f>
        <v/>
      </c>
    </row>
    <row r="3">
      <c r="A3" t="n">
        <v>2</v>
      </c>
      <c r="B3" t="inlineStr">
        <is>
          <t>Петров П.П.</t>
        </is>
      </c>
      <c r="C3" t="n">
        <v>72</v>
      </c>
      <c r="D3" t="n">
        <v>65</v>
      </c>
      <c r="E3" t="n">
        <v>80</v>
      </c>
      <c r="F3">
        <f>SUM(C3:E3)</f>
        <v/>
      </c>
      <c r="G3">
        <f>AVERAGE(C3:E3)</f>
        <v/>
      </c>
      <c r="H3">
        <f>IF(G3&gt;=90,5,IF(G3&gt;=75,4,IF(G3&gt;=60,3,2)))</f>
        <v/>
      </c>
      <c r="I3">
        <f>RANK.EQ(G3,$G$2:$G$16,0)</f>
        <v/>
      </c>
    </row>
    <row r="4">
      <c r="A4" t="n">
        <v>3</v>
      </c>
      <c r="B4" t="inlineStr">
        <is>
          <t>Сидорова С.С.</t>
        </is>
      </c>
      <c r="C4" t="n">
        <v>95</v>
      </c>
      <c r="D4" t="n">
        <v>88</v>
      </c>
      <c r="E4" t="n">
        <v>98</v>
      </c>
      <c r="F4">
        <f>SUM(C4:E4)</f>
        <v/>
      </c>
      <c r="G4">
        <f>AVERAGE(C4:E4)</f>
        <v/>
      </c>
      <c r="H4">
        <f>IF(G4&gt;=90,5,IF(G4&gt;=75,4,IF(G4&gt;=60,3,2)))</f>
        <v/>
      </c>
      <c r="I4">
        <f>RANK.EQ(G4,$G$2:$G$16,0)</f>
        <v/>
      </c>
    </row>
    <row r="5">
      <c r="A5" t="n">
        <v>4</v>
      </c>
      <c r="B5" t="inlineStr">
        <is>
          <t>Кузнецов К.К.</t>
        </is>
      </c>
      <c r="C5" t="n">
        <v>65</v>
      </c>
      <c r="D5" t="n">
        <v>55</v>
      </c>
      <c r="E5" t="n">
        <v>70</v>
      </c>
      <c r="F5">
        <f>SUM(C5:E5)</f>
        <v/>
      </c>
      <c r="G5">
        <f>AVERAGE(C5:E5)</f>
        <v/>
      </c>
      <c r="H5">
        <f>IF(G5&gt;=90,5,IF(G5&gt;=75,4,IF(G5&gt;=60,3,2)))</f>
        <v/>
      </c>
      <c r="I5">
        <f>RANK.EQ(G5,$G$2:$G$16,0)</f>
        <v/>
      </c>
    </row>
    <row r="6">
      <c r="A6" t="n">
        <v>5</v>
      </c>
      <c r="B6" t="inlineStr">
        <is>
          <t>Смирнова С.С.</t>
        </is>
      </c>
      <c r="C6" t="n">
        <v>78</v>
      </c>
      <c r="D6" t="n">
        <v>82</v>
      </c>
      <c r="E6" t="n">
        <v>85</v>
      </c>
      <c r="F6">
        <f>SUM(C6:E6)</f>
        <v/>
      </c>
      <c r="G6">
        <f>AVERAGE(C6:E6)</f>
        <v/>
      </c>
      <c r="H6">
        <f>IF(G6&gt;=90,5,IF(G6&gt;=75,4,IF(G6&gt;=60,3,2)))</f>
        <v/>
      </c>
      <c r="I6">
        <f>RANK.EQ(G6,$G$2:$G$16,0)</f>
        <v/>
      </c>
    </row>
    <row r="7">
      <c r="A7" t="n">
        <v>6</v>
      </c>
      <c r="B7" t="inlineStr">
        <is>
          <t>Волков В.В.</t>
        </is>
      </c>
      <c r="C7" t="n">
        <v>88</v>
      </c>
      <c r="D7" t="n">
        <v>90</v>
      </c>
      <c r="E7" t="n">
        <v>95</v>
      </c>
      <c r="F7">
        <f>SUM(C7:E7)</f>
        <v/>
      </c>
      <c r="G7">
        <f>AVERAGE(C7:E7)</f>
        <v/>
      </c>
      <c r="H7">
        <f>IF(G7&gt;=90,5,IF(G7&gt;=75,4,IF(G7&gt;=60,3,2)))</f>
        <v/>
      </c>
      <c r="I7">
        <f>RANK.EQ(G7,$G$2:$G$16,0)</f>
        <v/>
      </c>
    </row>
    <row r="8">
      <c r="A8" t="n">
        <v>7</v>
      </c>
      <c r="B8" t="inlineStr">
        <is>
          <t>Морозова М.М.</t>
        </is>
      </c>
      <c r="C8" t="n">
        <v>65</v>
      </c>
      <c r="D8" t="n">
        <v>70</v>
      </c>
      <c r="E8" t="n">
        <v>68</v>
      </c>
      <c r="F8">
        <f>SUM(C8:E8)</f>
        <v/>
      </c>
      <c r="G8">
        <f>AVERAGE(C8:E8)</f>
        <v/>
      </c>
      <c r="H8">
        <f>IF(G8&gt;=90,5,IF(G8&gt;=75,4,IF(G8&gt;=60,3,2)))</f>
        <v/>
      </c>
      <c r="I8">
        <f>RANK.EQ(G8,$G$2:$G$16,0)</f>
        <v/>
      </c>
    </row>
    <row r="9">
      <c r="A9" t="n">
        <v>8</v>
      </c>
      <c r="B9" t="inlineStr">
        <is>
          <t>Новиков Н.Н.</t>
        </is>
      </c>
      <c r="C9" t="n">
        <v>85</v>
      </c>
      <c r="D9" t="n">
        <v>88</v>
      </c>
      <c r="E9" t="n">
        <v>92</v>
      </c>
      <c r="F9">
        <f>SUM(C9:E9)</f>
        <v/>
      </c>
      <c r="G9">
        <f>AVERAGE(C9:E9)</f>
        <v/>
      </c>
      <c r="H9">
        <f>IF(G9&gt;=90,5,IF(G9&gt;=75,4,IF(G9&gt;=60,3,2)))</f>
        <v/>
      </c>
      <c r="I9">
        <f>RANK.EQ(G9,$G$2:$G$16,0)</f>
        <v/>
      </c>
    </row>
    <row r="10">
      <c r="A10" t="n">
        <v>9</v>
      </c>
      <c r="B10" t="inlineStr">
        <is>
          <t>Фёдорова Ф.Ф.</t>
        </is>
      </c>
      <c r="C10" t="n">
        <v>55</v>
      </c>
      <c r="D10" t="n">
        <v>60</v>
      </c>
      <c r="E10" t="n">
        <v>58</v>
      </c>
      <c r="F10">
        <f>SUM(C10:E10)</f>
        <v/>
      </c>
      <c r="G10">
        <f>AVERAGE(C10:E10)</f>
        <v/>
      </c>
      <c r="H10">
        <f>IF(G10&gt;=90,5,IF(G10&gt;=75,4,IF(G10&gt;=60,3,2)))</f>
        <v/>
      </c>
      <c r="I10">
        <f>RANK.EQ(G10,$G$2:$G$16,0)</f>
        <v/>
      </c>
    </row>
    <row r="11">
      <c r="A11" t="n">
        <v>10</v>
      </c>
      <c r="B11" t="inlineStr">
        <is>
          <t>Егоров Е.Е.</t>
        </is>
      </c>
      <c r="C11" t="n">
        <v>80</v>
      </c>
      <c r="D11" t="n">
        <v>75</v>
      </c>
      <c r="E11" t="n">
        <v>82</v>
      </c>
      <c r="F11">
        <f>SUM(C11:E11)</f>
        <v/>
      </c>
      <c r="G11">
        <f>AVERAGE(C11:E11)</f>
        <v/>
      </c>
      <c r="H11">
        <f>IF(G11&gt;=90,5,IF(G11&gt;=75,4,IF(G11&gt;=60,3,2)))</f>
        <v/>
      </c>
      <c r="I11">
        <f>RANK.EQ(G11,$G$2:$G$16,0)</f>
        <v/>
      </c>
    </row>
    <row r="12">
      <c r="A12" t="n">
        <v>11</v>
      </c>
      <c r="B12" t="inlineStr">
        <is>
          <t>Павлова П.П.</t>
        </is>
      </c>
      <c r="C12" t="n">
        <v>70</v>
      </c>
      <c r="D12" t="n">
        <v>68</v>
      </c>
      <c r="E12" t="n">
        <v>72</v>
      </c>
      <c r="F12">
        <f>SUM(C12:E12)</f>
        <v/>
      </c>
      <c r="G12">
        <f>AVERAGE(C12:E12)</f>
        <v/>
      </c>
      <c r="H12">
        <f>IF(G12&gt;=90,5,IF(G12&gt;=75,4,IF(G12&gt;=60,3,2)))</f>
        <v/>
      </c>
      <c r="I12">
        <f>RANK.EQ(G12,$G$2:$G$16,0)</f>
        <v/>
      </c>
    </row>
    <row r="13">
      <c r="A13" t="n">
        <v>12</v>
      </c>
      <c r="B13" t="inlineStr">
        <is>
          <t>Соколов С.С.</t>
        </is>
      </c>
      <c r="C13" t="n">
        <v>90</v>
      </c>
      <c r="D13" t="n">
        <v>92</v>
      </c>
      <c r="E13" t="n">
        <v>94</v>
      </c>
      <c r="F13">
        <f>SUM(C13:E13)</f>
        <v/>
      </c>
      <c r="G13">
        <f>AVERAGE(C13:E13)</f>
        <v/>
      </c>
      <c r="H13">
        <f>IF(G13&gt;=90,5,IF(G13&gt;=75,4,IF(G13&gt;=60,3,2)))</f>
        <v/>
      </c>
      <c r="I13">
        <f>RANK.EQ(G13,$G$2:$G$16,0)</f>
        <v/>
      </c>
    </row>
    <row r="14">
      <c r="A14" t="n">
        <v>13</v>
      </c>
      <c r="B14" t="inlineStr">
        <is>
          <t>Лебедева Л.Л.</t>
        </is>
      </c>
      <c r="C14" t="n">
        <v>75</v>
      </c>
      <c r="D14" t="n">
        <v>78</v>
      </c>
      <c r="E14" t="n">
        <v>80</v>
      </c>
      <c r="F14">
        <f>SUM(C14:E14)</f>
        <v/>
      </c>
      <c r="G14">
        <f>AVERAGE(C14:E14)</f>
        <v/>
      </c>
      <c r="H14">
        <f>IF(G14&gt;=90,5,IF(G14&gt;=75,4,IF(G14&gt;=60,3,2)))</f>
        <v/>
      </c>
      <c r="I14">
        <f>RANK.EQ(G14,$G$2:$G$16,0)</f>
        <v/>
      </c>
    </row>
    <row r="15">
      <c r="A15" t="n">
        <v>14</v>
      </c>
      <c r="B15" t="inlineStr">
        <is>
          <t>Козлов К.К.</t>
        </is>
      </c>
      <c r="C15" t="n">
        <v>62</v>
      </c>
      <c r="D15" t="n">
        <v>58</v>
      </c>
      <c r="E15" t="n">
        <v>65</v>
      </c>
      <c r="F15">
        <f>SUM(C15:E15)</f>
        <v/>
      </c>
      <c r="G15">
        <f>AVERAGE(C15:E15)</f>
        <v/>
      </c>
      <c r="H15">
        <f>IF(G15&gt;=90,5,IF(G15&gt;=75,4,IF(G15&gt;=60,3,2)))</f>
        <v/>
      </c>
      <c r="I15">
        <f>RANK.EQ(G15,$G$2:$G$16,0)</f>
        <v/>
      </c>
    </row>
    <row r="16">
      <c r="A16" t="n">
        <v>15</v>
      </c>
      <c r="B16" t="inlineStr">
        <is>
          <t>Степанова С.С.</t>
        </is>
      </c>
      <c r="C16" t="n">
        <v>98</v>
      </c>
      <c r="D16" t="n">
        <v>95</v>
      </c>
      <c r="E16" t="n">
        <v>100</v>
      </c>
      <c r="F16">
        <f>SUM(C16:E16)</f>
        <v/>
      </c>
      <c r="G16">
        <f>AVERAGE(C16:E16)</f>
        <v/>
      </c>
      <c r="H16">
        <f>IF(G16&gt;=90,5,IF(G16&gt;=75,4,IF(G16&gt;=60,3,2)))</f>
        <v/>
      </c>
      <c r="I16">
        <f>RANK.EQ(G16,$G$2:$G$16,0)</f>
        <v/>
      </c>
    </row>
    <row r="18">
      <c r="A18" t="inlineStr"/>
      <c r="B18" t="inlineStr">
        <is>
          <t>Товары</t>
        </is>
      </c>
      <c r="C18" t="inlineStr">
        <is>
          <t>Цена (руб.)</t>
        </is>
      </c>
      <c r="D18" t="inlineStr">
        <is>
          <t>Продано (шт.)</t>
        </is>
      </c>
      <c r="E18" t="inlineStr">
        <is>
          <t>Выручка</t>
        </is>
      </c>
      <c r="F18" t="inlineStr">
        <is>
          <t>Категория</t>
        </is>
      </c>
      <c r="G18" t="inlineStr">
        <is>
          <t>Доля (%)</t>
        </is>
      </c>
      <c r="H18" t="inlineStr">
        <is>
          <t>Ранг</t>
        </is>
      </c>
    </row>
    <row r="19">
      <c r="A19" t="n">
        <v>1</v>
      </c>
      <c r="B19" t="inlineStr">
        <is>
          <t>Ноутбук</t>
        </is>
      </c>
      <c r="C19" t="n">
        <v>45000</v>
      </c>
      <c r="D19" t="n">
        <v>12</v>
      </c>
      <c r="E19">
        <f>C19*D19</f>
        <v/>
      </c>
      <c r="F19">
        <f>IF(E19&gt;100000,"Топ",IF(E19&gt;50000,"Средний","Низкий"))</f>
        <v/>
      </c>
      <c r="G19">
        <f>E19/$E$34</f>
        <v/>
      </c>
      <c r="H19">
        <f>RANK.EQ(E19,$E$19:$E$33,0)</f>
        <v/>
      </c>
    </row>
    <row r="20">
      <c r="A20" t="n">
        <v>2</v>
      </c>
      <c r="B20" t="inlineStr">
        <is>
          <t>Монитор</t>
        </is>
      </c>
      <c r="C20" t="n">
        <v>18000</v>
      </c>
      <c r="D20" t="n">
        <v>25</v>
      </c>
      <c r="E20">
        <f>C20*D20</f>
        <v/>
      </c>
      <c r="F20">
        <f>IF(E20&gt;100000,"Топ",IF(E20&gt;50000,"Средний","Низкий"))</f>
        <v/>
      </c>
      <c r="G20">
        <f>E20/$E$34</f>
        <v/>
      </c>
      <c r="H20">
        <f>RANK.EQ(E20,$E$19:$E$33,0)</f>
        <v/>
      </c>
    </row>
    <row r="21">
      <c r="A21" t="n">
        <v>3</v>
      </c>
      <c r="B21" t="inlineStr">
        <is>
          <t>Клавиатура</t>
        </is>
      </c>
      <c r="C21" t="n">
        <v>1500</v>
      </c>
      <c r="D21" t="n">
        <v>60</v>
      </c>
      <c r="E21">
        <f>C21*D21</f>
        <v/>
      </c>
      <c r="F21">
        <f>IF(E21&gt;100000,"Топ",IF(E21&gt;50000,"Средний","Низкий"))</f>
        <v/>
      </c>
      <c r="G21">
        <f>E21/$E$34</f>
        <v/>
      </c>
      <c r="H21">
        <f>RANK.EQ(E21,$E$19:$E$33,0)</f>
        <v/>
      </c>
    </row>
    <row r="22">
      <c r="A22" t="n">
        <v>4</v>
      </c>
      <c r="B22" t="inlineStr">
        <is>
          <t>Мышь</t>
        </is>
      </c>
      <c r="C22" t="n">
        <v>800</v>
      </c>
      <c r="D22" t="n">
        <v>85</v>
      </c>
      <c r="E22">
        <f>C22*D22</f>
        <v/>
      </c>
      <c r="F22">
        <f>IF(E22&gt;100000,"Топ",IF(E22&gt;50000,"Средний","Низкий"))</f>
        <v/>
      </c>
      <c r="G22">
        <f>E22/$E$34</f>
        <v/>
      </c>
      <c r="H22">
        <f>RANK.EQ(E22,$E$19:$E$33,0)</f>
        <v/>
      </c>
    </row>
    <row r="23">
      <c r="A23" t="n">
        <v>5</v>
      </c>
      <c r="B23" t="inlineStr">
        <is>
          <t>Принтер</t>
        </is>
      </c>
      <c r="C23" t="n">
        <v>12000</v>
      </c>
      <c r="D23" t="n">
        <v>8</v>
      </c>
      <c r="E23">
        <f>C23*D23</f>
        <v/>
      </c>
      <c r="F23">
        <f>IF(E23&gt;100000,"Топ",IF(E23&gt;50000,"Средний","Низкий"))</f>
        <v/>
      </c>
      <c r="G23">
        <f>E23/$E$34</f>
        <v/>
      </c>
      <c r="H23">
        <f>RANK.EQ(E23,$E$19:$E$33,0)</f>
        <v/>
      </c>
    </row>
    <row r="24">
      <c r="A24" t="n">
        <v>6</v>
      </c>
      <c r="B24" t="inlineStr">
        <is>
          <t>Сканер</t>
        </is>
      </c>
      <c r="C24" t="n">
        <v>9000</v>
      </c>
      <c r="D24" t="n">
        <v>6</v>
      </c>
      <c r="E24">
        <f>C24*D24</f>
        <v/>
      </c>
      <c r="F24">
        <f>IF(E24&gt;100000,"Топ",IF(E24&gt;50000,"Средний","Низкий"))</f>
        <v/>
      </c>
      <c r="G24">
        <f>E24/$E$34</f>
        <v/>
      </c>
      <c r="H24">
        <f>RANK.EQ(E24,$E$19:$E$33,0)</f>
        <v/>
      </c>
    </row>
    <row r="25">
      <c r="A25" t="n">
        <v>7</v>
      </c>
      <c r="B25" t="inlineStr">
        <is>
          <t>Флешка 32ГБ</t>
        </is>
      </c>
      <c r="C25" t="n">
        <v>600</v>
      </c>
      <c r="D25" t="n">
        <v>120</v>
      </c>
      <c r="E25">
        <f>C25*D25</f>
        <v/>
      </c>
      <c r="F25">
        <f>IF(E25&gt;100000,"Топ",IF(E25&gt;50000,"Средний","Низкий"))</f>
        <v/>
      </c>
      <c r="G25">
        <f>E25/$E$34</f>
        <v/>
      </c>
      <c r="H25">
        <f>RANK.EQ(E25,$E$19:$E$33,0)</f>
        <v/>
      </c>
    </row>
    <row r="26">
      <c r="A26" t="n">
        <v>8</v>
      </c>
      <c r="B26" t="inlineStr">
        <is>
          <t>Внешний HDD</t>
        </is>
      </c>
      <c r="C26" t="n">
        <v>5500</v>
      </c>
      <c r="D26" t="n">
        <v>15</v>
      </c>
      <c r="E26">
        <f>C26*D26</f>
        <v/>
      </c>
      <c r="F26">
        <f>IF(E26&gt;100000,"Топ",IF(E26&gt;50000,"Средний","Низкий"))</f>
        <v/>
      </c>
      <c r="G26">
        <f>E26/$E$34</f>
        <v/>
      </c>
      <c r="H26">
        <f>RANK.EQ(E26,$E$19:$E$33,0)</f>
        <v/>
      </c>
    </row>
    <row r="27">
      <c r="A27" t="n">
        <v>9</v>
      </c>
      <c r="B27" t="inlineStr">
        <is>
          <t>Веб-камера</t>
        </is>
      </c>
      <c r="C27" t="n">
        <v>2800</v>
      </c>
      <c r="D27" t="n">
        <v>22</v>
      </c>
      <c r="E27">
        <f>C27*D27</f>
        <v/>
      </c>
      <c r="F27">
        <f>IF(E27&gt;100000,"Топ",IF(E27&gt;50000,"Средний","Низкий"))</f>
        <v/>
      </c>
      <c r="G27">
        <f>E27/$E$34</f>
        <v/>
      </c>
      <c r="H27">
        <f>RANK.EQ(E27,$E$19:$E$33,0)</f>
        <v/>
      </c>
    </row>
    <row r="28">
      <c r="A28" t="n">
        <v>10</v>
      </c>
      <c r="B28" t="inlineStr">
        <is>
          <t>Наушники</t>
        </is>
      </c>
      <c r="C28" t="n">
        <v>3200</v>
      </c>
      <c r="D28" t="n">
        <v>35</v>
      </c>
      <c r="E28">
        <f>C28*D28</f>
        <v/>
      </c>
      <c r="F28">
        <f>IF(E28&gt;100000,"Топ",IF(E28&gt;50000,"Средний","Низкий"))</f>
        <v/>
      </c>
      <c r="G28">
        <f>E28/$E$34</f>
        <v/>
      </c>
      <c r="H28">
        <f>RANK.EQ(E28,$E$19:$E$33,0)</f>
        <v/>
      </c>
    </row>
    <row r="29">
      <c r="A29" t="n">
        <v>11</v>
      </c>
      <c r="B29" t="inlineStr">
        <is>
          <t>Коврик для мыши</t>
        </is>
      </c>
      <c r="C29" t="n">
        <v>400</v>
      </c>
      <c r="D29" t="n">
        <v>90</v>
      </c>
      <c r="E29">
        <f>C29*D29</f>
        <v/>
      </c>
      <c r="F29">
        <f>IF(E29&gt;100000,"Топ",IF(E29&gt;50000,"Средний","Низкий"))</f>
        <v/>
      </c>
      <c r="G29">
        <f>E29/$E$34</f>
        <v/>
      </c>
      <c r="H29">
        <f>RANK.EQ(E29,$E$19:$E$33,0)</f>
        <v/>
      </c>
    </row>
    <row r="30">
      <c r="A30" t="n">
        <v>12</v>
      </c>
      <c r="B30" t="inlineStr">
        <is>
          <t>USB-хаб</t>
        </is>
      </c>
      <c r="C30" t="n">
        <v>1200</v>
      </c>
      <c r="D30" t="n">
        <v>40</v>
      </c>
      <c r="E30">
        <f>C30*D30</f>
        <v/>
      </c>
      <c r="F30">
        <f>IF(E30&gt;100000,"Топ",IF(E30&gt;50000,"Средний","Низкий"))</f>
        <v/>
      </c>
      <c r="G30">
        <f>E30/$E$34</f>
        <v/>
      </c>
      <c r="H30">
        <f>RANK.EQ(E30,$E$19:$E$33,0)</f>
        <v/>
      </c>
    </row>
    <row r="31">
      <c r="A31" t="n">
        <v>13</v>
      </c>
      <c r="B31" t="inlineStr">
        <is>
          <t>Картридж</t>
        </is>
      </c>
      <c r="C31" t="n">
        <v>2500</v>
      </c>
      <c r="D31" t="n">
        <v>18</v>
      </c>
      <c r="E31">
        <f>C31*D31</f>
        <v/>
      </c>
      <c r="F31">
        <f>IF(E31&gt;100000,"Топ",IF(E31&gt;50000,"Средний","Низкий"))</f>
        <v/>
      </c>
      <c r="G31">
        <f>E31/$E$34</f>
        <v/>
      </c>
      <c r="H31">
        <f>RANK.EQ(E31,$E$19:$E$33,0)</f>
        <v/>
      </c>
    </row>
    <row r="32">
      <c r="A32" t="n">
        <v>14</v>
      </c>
      <c r="B32" t="inlineStr">
        <is>
          <t>Бумага А4</t>
        </is>
      </c>
      <c r="C32" t="n">
        <v>350</v>
      </c>
      <c r="D32" t="n">
        <v>200</v>
      </c>
      <c r="E32">
        <f>C32*D32</f>
        <v/>
      </c>
      <c r="F32">
        <f>IF(E32&gt;100000,"Топ",IF(E32&gt;50000,"Средний","Низкий"))</f>
        <v/>
      </c>
      <c r="G32">
        <f>E32/$E$34</f>
        <v/>
      </c>
      <c r="H32">
        <f>RANK.EQ(E32,$E$19:$E$33,0)</f>
        <v/>
      </c>
    </row>
    <row r="33">
      <c r="A33" t="n">
        <v>15</v>
      </c>
      <c r="B33" t="inlineStr">
        <is>
          <t>Роутер</t>
        </is>
      </c>
      <c r="C33" t="n">
        <v>4500</v>
      </c>
      <c r="D33" t="n">
        <v>14</v>
      </c>
      <c r="E33">
        <f>C33*D33</f>
        <v/>
      </c>
      <c r="F33">
        <f>IF(E33&gt;100000,"Топ",IF(E33&gt;50000,"Средний","Низкий"))</f>
        <v/>
      </c>
      <c r="G33">
        <f>E33/$E$34</f>
        <v/>
      </c>
      <c r="H33">
        <f>RANK.EQ(E33,$E$19:$E$33,0)</f>
        <v/>
      </c>
    </row>
    <row r="35">
      <c r="A35" t="inlineStr">
        <is>
          <t>ИТОГО</t>
        </is>
      </c>
      <c r="B35" t="inlineStr"/>
      <c r="C35" t="inlineStr"/>
      <c r="D35" t="inlineStr"/>
      <c r="E35">
        <f>SUM(E19:E33)</f>
        <v/>
      </c>
      <c r="F35" t="inlineStr"/>
      <c r="G35" t="inlineStr"/>
      <c r="H35" t="inlineStr"/>
    </row>
    <row r="36">
      <c r="A36" t="inlineStr">
        <is>
          <t>Статистика по выручке:</t>
        </is>
      </c>
      <c r="B36" t="inlineStr">
        <is>
          <t>Сумма</t>
        </is>
      </c>
      <c r="C36" t="inlineStr">
        <is>
          <t>Среднее</t>
        </is>
      </c>
      <c r="D36" t="inlineStr">
        <is>
          <t>Медиана</t>
        </is>
      </c>
      <c r="E36" t="inlineStr">
        <is>
          <t>Мода</t>
        </is>
      </c>
      <c r="F36" t="inlineStr">
        <is>
          <t>Минимум</t>
        </is>
      </c>
      <c r="G36" t="inlineStr">
        <is>
          <t>Максимум</t>
        </is>
      </c>
      <c r="H36" t="inlineStr">
        <is>
          <t>Стд отклонение</t>
        </is>
      </c>
      <c r="I36" t="inlineStr">
        <is>
          <t>Дисперсия</t>
        </is>
      </c>
    </row>
    <row r="37">
      <c r="A37" t="inlineStr"/>
      <c r="B37">
        <f>SUM(E19:E33)</f>
        <v/>
      </c>
      <c r="C37">
        <f>AVERAGE(E19:E33)</f>
        <v/>
      </c>
      <c r="D37">
        <f>MEDIAN(E19:E33)</f>
        <v/>
      </c>
      <c r="E37">
        <f>MODE.SNGL(E19:E33)</f>
        <v/>
      </c>
      <c r="F37">
        <f>MIN(E19:E33)</f>
        <v/>
      </c>
      <c r="G37">
        <f>MAX(E19:E33)</f>
        <v/>
      </c>
      <c r="H37">
        <f>STDEV.S(E19:E33)</f>
        <v/>
      </c>
      <c r="I37">
        <f>VAR.S(E19:E33)</f>
        <v/>
      </c>
    </row>
    <row r="38">
      <c r="A38" t="inlineStr"/>
      <c r="B38" t="inlineStr">
        <is>
          <t>Количество 'Топ'</t>
        </is>
      </c>
      <c r="C38" t="inlineStr">
        <is>
          <t>Сумма 'Топ'</t>
        </is>
      </c>
      <c r="D38" t="inlineStr">
        <is>
          <t>Средняя 'Средний'</t>
        </is>
      </c>
      <c r="E38" t="inlineStr">
        <is>
          <t>Доля в общей выручке</t>
        </is>
      </c>
      <c r="F38" t="inlineStr"/>
      <c r="G38" t="inlineStr"/>
      <c r="H38" t="inlineStr"/>
    </row>
    <row r="39">
      <c r="A39" t="inlineStr"/>
      <c r="B39">
        <f>COUNTIF(F19:F33,"Топ")</f>
        <v/>
      </c>
      <c r="C39">
        <f>SUMIF(F19:F33,"Топ",E19:E33)</f>
        <v/>
      </c>
      <c r="D39">
        <f>AVERAGEIF(F19:F33,"Средний",E19:E33)</f>
        <v/>
      </c>
      <c r="E39" t="inlineStr"/>
      <c r="F39" t="inlineStr"/>
      <c r="G39" t="inlineStr"/>
    </row>
    <row r="40">
      <c r="A40" t="inlineStr">
        <is>
          <t>Корреляция (цена, продано)</t>
        </is>
      </c>
      <c r="B40">
        <f>CORREL(C19:C33,D19:D33)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2026-09-28T04:19:43Z</dcterms:created>
  <dcterms:modified xmlns:dcterms="http://purl.org/dc/terms/" xmlns:xsi="http://www.w3.org/2001/XMLSchema-instance" xsi:type="dcterms:W3CDTF">2026-09-28T04:19:43Z</dcterms:modified>
</cp:coreProperties>
</file>