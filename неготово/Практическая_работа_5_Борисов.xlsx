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детали</t>
        </is>
      </c>
      <c r="B1" t="inlineStr">
        <is>
          <t>Радиус R (мм)</t>
        </is>
      </c>
      <c r="C1" t="inlineStr">
        <is>
          <t>Высота h (мм)</t>
        </is>
      </c>
      <c r="D1" t="inlineStr">
        <is>
          <t>Масса m (кг)</t>
        </is>
      </c>
      <c r="E1" t="inlineStr">
        <is>
          <t>Длина L (мм)</t>
        </is>
      </c>
      <c r="F1" t="inlineStr">
        <is>
          <t>Диаметр (мм)</t>
        </is>
      </c>
      <c r="G1" t="inlineStr">
        <is>
          <t>Объем (мм³)</t>
        </is>
      </c>
      <c r="H1" t="inlineStr">
        <is>
          <t>√V</t>
        </is>
      </c>
      <c r="I1" t="inlineStr">
        <is>
          <t>Модуль отклонения массы от нормы</t>
        </is>
      </c>
      <c r="J1" t="inlineStr">
        <is>
          <t>№ п/п</t>
        </is>
      </c>
      <c r="K1" t="inlineStr">
        <is>
          <t>Норма массы (кг)</t>
        </is>
      </c>
      <c r="L1" t="inlineStr"/>
      <c r="M1" t="inlineStr">
        <is>
          <t>Начальная сумма</t>
        </is>
      </c>
      <c r="N1" t="inlineStr">
        <is>
          <t>Ставка годовая</t>
        </is>
      </c>
      <c r="O1" t="inlineStr">
        <is>
          <t>Срок (лет)</t>
        </is>
      </c>
      <c r="P1" t="inlineStr"/>
      <c r="Q1" t="inlineStr">
        <is>
          <t>Угол (градусы)</t>
        </is>
      </c>
      <c r="R1" t="inlineStr">
        <is>
          <t>Длина дуги (мм)</t>
        </is>
      </c>
      <c r="S1" t="inlineStr">
        <is>
          <t>Дуга через РADIANS</t>
        </is>
      </c>
      <c r="T1" t="inlineStr"/>
      <c r="U1" t="inlineStr">
        <is>
          <t>Кредит</t>
        </is>
      </c>
      <c r="V1" t="inlineStr"/>
    </row>
    <row r="2">
      <c r="A2" t="n">
        <v>1</v>
      </c>
      <c r="B2" t="n">
        <v>12.5</v>
      </c>
      <c r="C2" t="n">
        <v>30</v>
      </c>
      <c r="D2" t="n">
        <v>2.4</v>
      </c>
      <c r="E2" t="n">
        <v>145</v>
      </c>
      <c r="F2">
        <f>2*B2</f>
        <v/>
      </c>
      <c r="G2">
        <f>PI()*B2^2*C2</f>
        <v/>
      </c>
      <c r="H2">
        <f>SQRT(G2)</f>
        <v/>
      </c>
      <c r="I2">
        <f>ABS(D2-$K$1)</f>
        <v/>
      </c>
      <c r="J2" t="n">
        <v>1</v>
      </c>
      <c r="K2" t="n">
        <v>3</v>
      </c>
      <c r="L2" t="inlineStr"/>
      <c r="M2" t="n">
        <v>100000</v>
      </c>
      <c r="N2" t="n">
        <v>0.12</v>
      </c>
      <c r="O2" t="n">
        <v>5</v>
      </c>
      <c r="P2" t="inlineStr"/>
      <c r="Q2" t="n">
        <v>60</v>
      </c>
      <c r="R2">
        <f>PI()*B2*$O$1/180</f>
        <v/>
      </c>
      <c r="S2">
        <f>B2*RADIANS($O$1)</f>
        <v/>
      </c>
      <c r="T2" t="inlineStr"/>
      <c r="U2" t="inlineStr"/>
      <c r="V2" t="n">
        <v>500000</v>
      </c>
    </row>
    <row r="3">
      <c r="A3" t="n">
        <v>2</v>
      </c>
      <c r="B3" t="n">
        <v>8.300000000000001</v>
      </c>
      <c r="C3" t="n">
        <v>25</v>
      </c>
      <c r="D3" t="n">
        <v>1.1</v>
      </c>
      <c r="E3" t="n">
        <v>98</v>
      </c>
      <c r="F3">
        <f>2*B3</f>
        <v/>
      </c>
      <c r="G3">
        <f>PI()*B3^2*C3</f>
        <v/>
      </c>
      <c r="H3">
        <f>SQRT(G3)</f>
        <v/>
      </c>
      <c r="I3">
        <f>ABS(D3-$K$1)</f>
        <v/>
      </c>
      <c r="J3" t="n">
        <v>2</v>
      </c>
      <c r="K3" t="inlineStr"/>
      <c r="L3" t="inlineStr"/>
      <c r="M3" t="inlineStr"/>
      <c r="N3" t="inlineStr"/>
      <c r="O3" t="inlineStr"/>
      <c r="P3" t="inlineStr"/>
      <c r="Q3">
        <f>PI()*B3*$O$1/180</f>
        <v/>
      </c>
      <c r="R3">
        <f>B3*RADIANS($O$1)</f>
        <v/>
      </c>
      <c r="S3" t="inlineStr"/>
      <c r="T3" t="inlineStr"/>
      <c r="U3" t="inlineStr"/>
    </row>
    <row r="4">
      <c r="A4" t="n">
        <v>3</v>
      </c>
      <c r="B4" t="n">
        <v>15.7</v>
      </c>
      <c r="C4" t="n">
        <v>40</v>
      </c>
      <c r="D4" t="n">
        <v>4</v>
      </c>
      <c r="E4" t="n">
        <v>210</v>
      </c>
      <c r="F4">
        <f>2*B4</f>
        <v/>
      </c>
      <c r="G4">
        <f>PI()*B4^2*C4</f>
        <v/>
      </c>
      <c r="H4">
        <f>SQRT(G4)</f>
        <v/>
      </c>
      <c r="I4">
        <f>ABS(D4-$K$1)</f>
        <v/>
      </c>
      <c r="J4" t="n">
        <v>3</v>
      </c>
      <c r="K4" t="inlineStr"/>
      <c r="L4" t="inlineStr"/>
      <c r="M4" t="inlineStr"/>
      <c r="N4" t="inlineStr"/>
      <c r="O4" t="inlineStr"/>
      <c r="P4" t="inlineStr"/>
      <c r="Q4">
        <f>PI()*B4*$O$1/180</f>
        <v/>
      </c>
      <c r="R4">
        <f>B4*RADIANS($O$1)</f>
        <v/>
      </c>
      <c r="S4" t="inlineStr"/>
      <c r="T4" t="inlineStr"/>
      <c r="U4" t="inlineStr"/>
    </row>
    <row r="5">
      <c r="A5" t="n">
        <v>4</v>
      </c>
      <c r="B5" t="n">
        <v>6.2</v>
      </c>
      <c r="C5" t="n">
        <v>18</v>
      </c>
      <c r="D5" t="n">
        <v>0.7</v>
      </c>
      <c r="E5" t="n">
        <v>75</v>
      </c>
      <c r="F5">
        <f>2*B5</f>
        <v/>
      </c>
      <c r="G5">
        <f>PI()*B5^2*C5</f>
        <v/>
      </c>
      <c r="H5">
        <f>SQRT(G5)</f>
        <v/>
      </c>
      <c r="I5">
        <f>ABS(D5-$K$1)</f>
        <v/>
      </c>
      <c r="J5" t="n">
        <v>4</v>
      </c>
      <c r="K5" t="inlineStr"/>
      <c r="L5" t="inlineStr"/>
      <c r="M5" t="inlineStr"/>
      <c r="N5" t="inlineStr"/>
      <c r="O5" t="inlineStr"/>
      <c r="P5" t="inlineStr"/>
      <c r="Q5">
        <f>PI()*B5*$O$1/180</f>
        <v/>
      </c>
      <c r="R5">
        <f>B5*RADIANS($O$1)</f>
        <v/>
      </c>
      <c r="S5" t="inlineStr"/>
      <c r="T5" t="inlineStr"/>
      <c r="U5" t="inlineStr"/>
    </row>
    <row r="6">
      <c r="A6" t="n">
        <v>5</v>
      </c>
      <c r="B6" t="n">
        <v>20.1</v>
      </c>
      <c r="C6" t="n">
        <v>55</v>
      </c>
      <c r="D6" t="n">
        <v>6.5</v>
      </c>
      <c r="E6" t="n">
        <v>320</v>
      </c>
      <c r="F6">
        <f>2*B6</f>
        <v/>
      </c>
      <c r="G6">
        <f>PI()*B6^2*C6</f>
        <v/>
      </c>
      <c r="H6">
        <f>SQRT(G6)</f>
        <v/>
      </c>
      <c r="I6">
        <f>ABS(D6-$K$1)</f>
        <v/>
      </c>
      <c r="J6" t="n">
        <v>5</v>
      </c>
      <c r="K6" t="inlineStr"/>
      <c r="L6" t="inlineStr"/>
      <c r="M6" t="inlineStr"/>
      <c r="N6" t="inlineStr"/>
      <c r="O6" t="inlineStr"/>
      <c r="P6" t="inlineStr"/>
      <c r="Q6">
        <f>PI()*B6*$O$1/180</f>
        <v/>
      </c>
      <c r="R6">
        <f>B6*RADIANS($O$1)</f>
        <v/>
      </c>
      <c r="S6" t="inlineStr"/>
      <c r="T6" t="inlineStr"/>
      <c r="U6" t="inlineStr"/>
    </row>
    <row r="7">
      <c r="A7" t="n">
        <v>6</v>
      </c>
      <c r="B7" t="n">
        <v>10.4</v>
      </c>
      <c r="C7" t="n">
        <v>28</v>
      </c>
      <c r="D7" t="n">
        <v>1.9</v>
      </c>
      <c r="E7" t="n">
        <v>130</v>
      </c>
      <c r="F7">
        <f>2*B7</f>
        <v/>
      </c>
      <c r="G7">
        <f>PI()*B7^2*C7</f>
        <v/>
      </c>
      <c r="H7">
        <f>SQRT(G7)</f>
        <v/>
      </c>
      <c r="I7">
        <f>ABS(D7-$K$1)</f>
        <v/>
      </c>
      <c r="J7" t="n">
        <v>6</v>
      </c>
      <c r="K7" t="inlineStr"/>
      <c r="L7" t="inlineStr"/>
      <c r="M7" t="inlineStr"/>
      <c r="N7" t="inlineStr"/>
      <c r="O7" t="inlineStr"/>
      <c r="P7" t="inlineStr"/>
      <c r="Q7">
        <f>PI()*B7*$O$1/180</f>
        <v/>
      </c>
      <c r="R7">
        <f>B7*RADIANS($O$1)</f>
        <v/>
      </c>
      <c r="S7" t="inlineStr"/>
      <c r="T7" t="inlineStr"/>
      <c r="U7" t="inlineStr"/>
    </row>
    <row r="8">
      <c r="A8" t="n">
        <v>7</v>
      </c>
      <c r="B8" t="n">
        <v>18.9</v>
      </c>
      <c r="C8" t="n">
        <v>48</v>
      </c>
      <c r="D8" t="n">
        <v>5.2</v>
      </c>
      <c r="E8" t="n">
        <v>275</v>
      </c>
      <c r="F8">
        <f>2*B8</f>
        <v/>
      </c>
      <c r="G8">
        <f>PI()*B8^2*C8</f>
        <v/>
      </c>
      <c r="H8">
        <f>SQRT(G8)</f>
        <v/>
      </c>
      <c r="I8">
        <f>ABS(D8-$K$1)</f>
        <v/>
      </c>
      <c r="J8" t="n">
        <v>7</v>
      </c>
      <c r="K8" t="inlineStr"/>
      <c r="L8" t="inlineStr"/>
      <c r="M8" t="inlineStr"/>
      <c r="N8" t="inlineStr"/>
      <c r="O8" t="inlineStr"/>
      <c r="P8" t="inlineStr"/>
      <c r="Q8">
        <f>PI()*B8*$O$1/180</f>
        <v/>
      </c>
      <c r="R8">
        <f>B8*RADIANS($O$1)</f>
        <v/>
      </c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K1= норма массы</t>
        </is>
      </c>
      <c r="L9" t="n">
        <v>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Суммарная масса</t>
        </is>
      </c>
      <c r="B10">
        <f>SUM(D2:D8)</f>
        <v/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Начальная сумма (прим. расчеты)</t>
        </is>
      </c>
      <c r="N10" t="inlineStr">
        <is>
          <t>Ставка</t>
        </is>
      </c>
      <c r="O10" t="inlineStr">
        <is>
          <t>Срок</t>
        </is>
      </c>
      <c r="P10" t="inlineStr"/>
      <c r="Q10" t="inlineStr">
        <is>
          <t>Угол (°)</t>
        </is>
      </c>
      <c r="R10" t="inlineStr"/>
      <c r="S10" t="inlineStr"/>
    </row>
    <row r="11">
      <c r="A11" t="inlineStr">
        <is>
          <t>Масса &gt; 2 кг</t>
        </is>
      </c>
      <c r="B11">
        <f>SUMIF(D2:D8,"&gt;2")</f>
        <v/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Составной процент</t>
        </is>
      </c>
      <c r="N11">
        <f>M1*(1+M2)^M3</f>
        <v/>
      </c>
      <c r="O11">
        <f>M1*EXP(M2*M3)</f>
        <v/>
      </c>
      <c r="P11" t="inlineStr"/>
      <c r="Q11" t="inlineStr"/>
      <c r="R11" t="inlineStr"/>
      <c r="S11" t="inlineStr"/>
    </row>
    <row r="12">
      <c r="A12" t="inlineStr">
        <is>
          <t>Средневзвешенная масса</t>
        </is>
      </c>
      <c r="B12">
        <f>SUMPRODUCT(D2:D8,E2:E8)/SUM(E2:E8)</f>
        <v/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Правило 72</t>
        </is>
      </c>
      <c r="N12">
        <f>72/(M2*100)</f>
        <v/>
      </c>
      <c r="O12" t="inlineStr">
        <is>
          <t>LN(2)/LN(1+M2)</t>
        </is>
      </c>
      <c r="P12" t="inlineStr"/>
      <c r="Q12" t="inlineStr"/>
      <c r="R12" t="inlineStr"/>
      <c r="S12" t="inlineStr"/>
    </row>
    <row r="13">
      <c r="A13" t="inlineStr">
        <is>
          <t>Кол-во &gt;2 кг</t>
        </is>
      </c>
      <c r="B13">
        <f>COUNTIF(D2:D8,"&gt;2")</f>
        <v/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Средняя масса</t>
        </is>
      </c>
      <c r="B14">
        <f>AVERAGE(D2:D8)</f>
        <v/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Максимум</t>
        </is>
      </c>
      <c r="B15">
        <f>MAX(D2:D8)</f>
        <v/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Минимум</t>
        </is>
      </c>
      <c r="B16">
        <f>MIN(D2:D8)</f>
        <v/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Кредит: сумма</t>
        </is>
      </c>
      <c r="B18">
        <f>T1</f>
        <v/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Кредит: ставка</t>
        </is>
      </c>
      <c r="N18">
        <f>T2</f>
        <v/>
      </c>
      <c r="O18" t="inlineStr">
        <is>
          <t>Кредит: срок лет</t>
        </is>
      </c>
      <c r="P18">
        <f>T3</f>
        <v/>
      </c>
      <c r="Q18" t="inlineStr"/>
      <c r="R18" t="inlineStr"/>
      <c r="S18" t="inlineStr"/>
      <c r="T18" t="inlineStr"/>
    </row>
    <row r="19">
      <c r="A19" t="inlineStr">
        <is>
          <t>Кредит: ежемес. платёж</t>
        </is>
      </c>
      <c r="B19">
        <f>-PMT(T2/12,T3*12,T1)</f>
        <v/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2026-09-28T04:14:06Z</dcterms:created>
  <dcterms:modified xmlns:dcterms="http://purl.org/dc/terms/" xmlns:xsi="http://www.w3.org/2001/XMLSchema-instance" xsi:type="dcterms:W3CDTF">2026-09-28T04:14:06Z</dcterms:modified>
</cp:coreProperties>
</file>