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Статистика" sheetId="1" state="visible" r:id="rId2"/>
    <sheet name="Товары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<sst xmlns="http://schemas.openxmlformats.org/spreadsheetml/2006/main" count="68" uniqueCount="66">
  <si>
    <t xml:space="preserve">№</t>
  </si>
  <si>
    <t xml:space="preserve">ФИО студента</t>
  </si>
  <si>
    <t xml:space="preserve">Балл 1 (тест)</t>
  </si>
  <si>
    <t xml:space="preserve">Балл 2 (практика)</t>
  </si>
  <si>
    <t xml:space="preserve">Балл 3 (проект)</t>
  </si>
  <si>
    <t xml:space="preserve">Сумма баллов</t>
  </si>
  <si>
    <t xml:space="preserve">Средний балл</t>
  </si>
  <si>
    <t xml:space="preserve">Оценка</t>
  </si>
  <si>
    <t xml:space="preserve">Ранг</t>
  </si>
  <si>
    <t xml:space="preserve">Иванов И.И.</t>
  </si>
  <si>
    <t xml:space="preserve">Петров П.П.</t>
  </si>
  <si>
    <t xml:space="preserve">Сидорова С.С.</t>
  </si>
  <si>
    <t xml:space="preserve">Кузнецов К.К.</t>
  </si>
  <si>
    <t xml:space="preserve">Смирнова С.С.</t>
  </si>
  <si>
    <t xml:space="preserve">Волков В.В.</t>
  </si>
  <si>
    <t xml:space="preserve">Морозова М.М.</t>
  </si>
  <si>
    <t xml:space="preserve">Новиков Н.Н.</t>
  </si>
  <si>
    <t xml:space="preserve">Фёдорова Ф.Ф.</t>
  </si>
  <si>
    <t xml:space="preserve">Егоров Е.Е.</t>
  </si>
  <si>
    <t xml:space="preserve">Павлова П.П.</t>
  </si>
  <si>
    <t xml:space="preserve">Соколов С.С.</t>
  </si>
  <si>
    <t xml:space="preserve">Лебедева Л.Л.</t>
  </si>
  <si>
    <t xml:space="preserve">Козлов К.К.</t>
  </si>
  <si>
    <t xml:space="preserve">Степанова С.С.</t>
  </si>
  <si>
    <t xml:space="preserve">Статистика по группе:</t>
  </si>
  <si>
    <t xml:space="preserve">Сумма баллов всех студентов</t>
  </si>
  <si>
    <t xml:space="preserve">Средний балл по группе</t>
  </si>
  <si>
    <t xml:space="preserve">Медиана среднего балла</t>
  </si>
  <si>
    <t xml:space="preserve">Мода среднего балла</t>
  </si>
  <si>
    <t xml:space="preserve">Минимальная сумма баллов</t>
  </si>
  <si>
    <t xml:space="preserve">Максимальная сумма баллов</t>
  </si>
  <si>
    <t xml:space="preserve">Товар</t>
  </si>
  <si>
    <t xml:space="preserve">Цена (руб.)</t>
  </si>
  <si>
    <t xml:space="preserve">Продано (шт.)</t>
  </si>
  <si>
    <t xml:space="preserve">Выручка</t>
  </si>
  <si>
    <t xml:space="preserve">Категория</t>
  </si>
  <si>
    <t xml:space="preserve">Доля в выручке, %</t>
  </si>
  <si>
    <t xml:space="preserve">Ноутбук</t>
  </si>
  <si>
    <t xml:space="preserve">Монитор</t>
  </si>
  <si>
    <t xml:space="preserve">Клавиатура</t>
  </si>
  <si>
    <t xml:space="preserve">Мышь</t>
  </si>
  <si>
    <t xml:space="preserve">Принтер</t>
  </si>
  <si>
    <t xml:space="preserve">Сканер</t>
  </si>
  <si>
    <t xml:space="preserve">Флешка 32ГБ</t>
  </si>
  <si>
    <t xml:space="preserve">Внешний HDD</t>
  </si>
  <si>
    <t xml:space="preserve">Веб-камера</t>
  </si>
  <si>
    <t xml:space="preserve">Наушники</t>
  </si>
  <si>
    <t xml:space="preserve">Коврик для мыши</t>
  </si>
  <si>
    <t xml:space="preserve">USB-хаб</t>
  </si>
  <si>
    <t xml:space="preserve">Картридж</t>
  </si>
  <si>
    <t xml:space="preserve">Бумага А4</t>
  </si>
  <si>
    <t xml:space="preserve">Роутер</t>
  </si>
  <si>
    <t xml:space="preserve">ИТОГО:</t>
  </si>
  <si>
    <t xml:space="preserve">Статистика по выручке и расчёты по условию:</t>
  </si>
  <si>
    <t xml:space="preserve">1. Сумма выручки</t>
  </si>
  <si>
    <t xml:space="preserve">2. Среднее значение</t>
  </si>
  <si>
    <t xml:space="preserve">3. Медиана</t>
  </si>
  <si>
    <t xml:space="preserve">4. Мода</t>
  </si>
  <si>
    <t xml:space="preserve">5. Минимум</t>
  </si>
  <si>
    <t xml:space="preserve">6. Максимум</t>
  </si>
  <si>
    <t xml:space="preserve">7. Стандартное отклонение</t>
  </si>
  <si>
    <t xml:space="preserve">8. Дисперсия</t>
  </si>
  <si>
    <t xml:space="preserve">9. Количество товаров категории «Топ»</t>
  </si>
  <si>
    <t xml:space="preserve">10. Сумма выручки категории «Топ»</t>
  </si>
  <si>
    <t xml:space="preserve">11. Средняя выручка категории «Средний»</t>
  </si>
  <si>
    <t xml:space="preserve">12. Корреляция цены и проданного количества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</si>
</sst>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.0"/>
    <numFmt numFmtId="167" formatCode="0.00"/>
    <numFmt numFmtId="168" formatCode="#,##0"/>
    <numFmt numFmtId="169" formatCode="0.0%"/>
    <numFmt numFmtId="170" formatCode="0.00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5"/>
    <col collapsed="false" customWidth="true" hidden="false" outlineLevel="0" max="7" min="6" style="0" width="14"/>
    <col collapsed="false" customWidth="true" hidden="false" outlineLevel="0" max="8" min="8" style="0" width="9"/>
    <col collapsed="false" customWidth="true" hidden="false" outlineLevel="0" max="9" min="9" style="0" width="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1</v>
      </c>
      <c r="B2" s="3" t="s">
        <v>9</v>
      </c>
      <c r="C2" s="4" t="n">
        <v>85</v>
      </c>
      <c r="D2" s="4" t="n">
        <v>78</v>
      </c>
      <c r="E2" s="4" t="n">
        <v>92</v>
      </c>
      <c r="F2" s="4" t="n">
        <f aca="false">SUM(C2:E2)</f>
        <v>255</v>
      </c>
      <c r="G2" s="5" t="n">
        <f aca="false">AVERAGE(C2:E2)</f>
        <v>85</v>
      </c>
      <c r="H2" s="2" t="str">
        <f aca="false">IF(G2&gt;=85,"5",IF(G2&gt;=70,"4","3"))</f>
        <v>5</v>
      </c>
      <c r="I2" s="2" t="n">
        <f aca="false">RANK(F2,$F$2:$F$16)</f>
        <v>6</v>
      </c>
    </row>
    <row r="3" customFormat="false" ht="15" hidden="false" customHeight="false" outlineLevel="0" collapsed="false">
      <c r="A3" s="2" t="n">
        <v>2</v>
      </c>
      <c r="B3" s="3" t="s">
        <v>10</v>
      </c>
      <c r="C3" s="4" t="n">
        <v>72</v>
      </c>
      <c r="D3" s="4" t="n">
        <v>65</v>
      </c>
      <c r="E3" s="4" t="n">
        <v>80</v>
      </c>
      <c r="F3" s="4" t="n">
        <f aca="false">SUM(C3:E3)</f>
        <v>217</v>
      </c>
      <c r="G3" s="5" t="n">
        <f aca="false">AVERAGE(C3:E3)</f>
        <v>72.3333333333333</v>
      </c>
      <c r="H3" s="2" t="str">
        <f aca="false">IF(G3&gt;=85,"5",IF(G3&gt;=70,"4","3"))</f>
        <v>4</v>
      </c>
      <c r="I3" s="2" t="n">
        <f aca="false">RANK(F3,$F$2:$F$16)</f>
        <v>10</v>
      </c>
    </row>
    <row r="4" customFormat="false" ht="15" hidden="false" customHeight="false" outlineLevel="0" collapsed="false">
      <c r="A4" s="2" t="n">
        <v>3</v>
      </c>
      <c r="B4" s="3" t="s">
        <v>11</v>
      </c>
      <c r="C4" s="4" t="n">
        <v>95</v>
      </c>
      <c r="D4" s="4" t="n">
        <v>88</v>
      </c>
      <c r="E4" s="4" t="n">
        <v>98</v>
      </c>
      <c r="F4" s="4" t="n">
        <f aca="false">SUM(C4:E4)</f>
        <v>281</v>
      </c>
      <c r="G4" s="5" t="n">
        <f aca="false">AVERAGE(C4:E4)</f>
        <v>93.6666666666667</v>
      </c>
      <c r="H4" s="2" t="str">
        <f aca="false">IF(G4&gt;=85,"5",IF(G4&gt;=70,"4","3"))</f>
        <v>5</v>
      </c>
      <c r="I4" s="2" t="n">
        <f aca="false">RANK(F4,$F$2:$F$16)</f>
        <v>2</v>
      </c>
    </row>
    <row r="5" customFormat="false" ht="15" hidden="false" customHeight="false" outlineLevel="0" collapsed="false">
      <c r="A5" s="2" t="n">
        <v>4</v>
      </c>
      <c r="B5" s="3" t="s">
        <v>12</v>
      </c>
      <c r="C5" s="4" t="n">
        <v>70</v>
      </c>
      <c r="D5" s="4" t="n">
        <v>55</v>
      </c>
      <c r="E5" s="4" t="n">
        <v>70</v>
      </c>
      <c r="F5" s="4" t="n">
        <f aca="false">SUM(C5:E5)</f>
        <v>195</v>
      </c>
      <c r="G5" s="5" t="n">
        <f aca="false">AVERAGE(C5:E5)</f>
        <v>65</v>
      </c>
      <c r="H5" s="2" t="str">
        <f aca="false">IF(G5&gt;=85,"5",IF(G5&gt;=70,"4","3"))</f>
        <v>3</v>
      </c>
      <c r="I5" s="2" t="n">
        <f aca="false">RANK(F5,$F$2:$F$16)</f>
        <v>13</v>
      </c>
    </row>
    <row r="6" customFormat="false" ht="15" hidden="false" customHeight="false" outlineLevel="0" collapsed="false">
      <c r="A6" s="2" t="n">
        <v>5</v>
      </c>
      <c r="B6" s="3" t="s">
        <v>13</v>
      </c>
      <c r="C6" s="4" t="n">
        <v>78</v>
      </c>
      <c r="D6" s="4" t="n">
        <v>82</v>
      </c>
      <c r="E6" s="4" t="n">
        <v>85</v>
      </c>
      <c r="F6" s="4" t="n">
        <f aca="false">SUM(C6:E6)</f>
        <v>245</v>
      </c>
      <c r="G6" s="5" t="n">
        <f aca="false">AVERAGE(C6:E6)</f>
        <v>81.6666666666667</v>
      </c>
      <c r="H6" s="2" t="str">
        <f aca="false">IF(G6&gt;=85,"5",IF(G6&gt;=70,"4","3"))</f>
        <v>4</v>
      </c>
      <c r="I6" s="2" t="n">
        <f aca="false">RANK(F6,$F$2:$F$16)</f>
        <v>7</v>
      </c>
    </row>
    <row r="7" customFormat="false" ht="15" hidden="false" customHeight="false" outlineLevel="0" collapsed="false">
      <c r="A7" s="2" t="n">
        <v>6</v>
      </c>
      <c r="B7" s="3" t="s">
        <v>14</v>
      </c>
      <c r="C7" s="4" t="n">
        <v>88</v>
      </c>
      <c r="D7" s="4" t="n">
        <v>90</v>
      </c>
      <c r="E7" s="4" t="n">
        <v>95</v>
      </c>
      <c r="F7" s="4" t="n">
        <f aca="false">SUM(C7:E7)</f>
        <v>273</v>
      </c>
      <c r="G7" s="5" t="n">
        <f aca="false">AVERAGE(C7:E7)</f>
        <v>91</v>
      </c>
      <c r="H7" s="2" t="str">
        <f aca="false">IF(G7&gt;=85,"5",IF(G7&gt;=70,"4","3"))</f>
        <v>5</v>
      </c>
      <c r="I7" s="2" t="n">
        <f aca="false">RANK(F7,$F$2:$F$16)</f>
        <v>4</v>
      </c>
    </row>
    <row r="8" customFormat="false" ht="15" hidden="false" customHeight="false" outlineLevel="0" collapsed="false">
      <c r="A8" s="2" t="n">
        <v>7</v>
      </c>
      <c r="B8" s="3" t="s">
        <v>15</v>
      </c>
      <c r="C8" s="4" t="n">
        <v>65</v>
      </c>
      <c r="D8" s="4" t="n">
        <v>70</v>
      </c>
      <c r="E8" s="4" t="n">
        <v>68</v>
      </c>
      <c r="F8" s="4" t="n">
        <f aca="false">SUM(C8:E8)</f>
        <v>203</v>
      </c>
      <c r="G8" s="5" t="n">
        <f aca="false">AVERAGE(C8:E8)</f>
        <v>67.6666666666667</v>
      </c>
      <c r="H8" s="2" t="str">
        <f aca="false">IF(G8&gt;=85,"5",IF(G8&gt;=70,"4","3"))</f>
        <v>3</v>
      </c>
      <c r="I8" s="2" t="n">
        <f aca="false">RANK(F8,$F$2:$F$16)</f>
        <v>12</v>
      </c>
    </row>
    <row r="9" customFormat="false" ht="15" hidden="false" customHeight="false" outlineLevel="0" collapsed="false">
      <c r="A9" s="2" t="n">
        <v>8</v>
      </c>
      <c r="B9" s="3" t="s">
        <v>16</v>
      </c>
      <c r="C9" s="4" t="n">
        <v>92</v>
      </c>
      <c r="D9" s="4" t="n">
        <v>85</v>
      </c>
      <c r="E9" s="4" t="n">
        <v>88</v>
      </c>
      <c r="F9" s="4" t="n">
        <f aca="false">SUM(C9:E9)</f>
        <v>265</v>
      </c>
      <c r="G9" s="5" t="n">
        <f aca="false">AVERAGE(C9:E9)</f>
        <v>88.3333333333333</v>
      </c>
      <c r="H9" s="2" t="str">
        <f aca="false">IF(G9&gt;=85,"5",IF(G9&gt;=70,"4","3"))</f>
        <v>5</v>
      </c>
      <c r="I9" s="2" t="n">
        <f aca="false">RANK(F9,$F$2:$F$16)</f>
        <v>5</v>
      </c>
    </row>
    <row r="10" customFormat="false" ht="15" hidden="false" customHeight="false" outlineLevel="0" collapsed="false">
      <c r="A10" s="2" t="n">
        <v>9</v>
      </c>
      <c r="B10" s="3" t="s">
        <v>17</v>
      </c>
      <c r="C10" s="4" t="n">
        <v>55</v>
      </c>
      <c r="D10" s="4" t="n">
        <v>60</v>
      </c>
      <c r="E10" s="4" t="n">
        <v>58</v>
      </c>
      <c r="F10" s="4" t="n">
        <f aca="false">SUM(C10:E10)</f>
        <v>173</v>
      </c>
      <c r="G10" s="5" t="n">
        <f aca="false">AVERAGE(C10:E10)</f>
        <v>57.6666666666667</v>
      </c>
      <c r="H10" s="2" t="str">
        <f aca="false">IF(G10&gt;=85,"5",IF(G10&gt;=70,"4","3"))</f>
        <v>3</v>
      </c>
      <c r="I10" s="2" t="n">
        <f aca="false">RANK(F10,$F$2:$F$16)</f>
        <v>15</v>
      </c>
    </row>
    <row r="11" customFormat="false" ht="15" hidden="false" customHeight="false" outlineLevel="0" collapsed="false">
      <c r="A11" s="2" t="n">
        <v>10</v>
      </c>
      <c r="B11" s="3" t="s">
        <v>18</v>
      </c>
      <c r="C11" s="4" t="n">
        <v>80</v>
      </c>
      <c r="D11" s="4" t="n">
        <v>75</v>
      </c>
      <c r="E11" s="4" t="n">
        <v>82</v>
      </c>
      <c r="F11" s="4" t="n">
        <f aca="false">SUM(C11:E11)</f>
        <v>237</v>
      </c>
      <c r="G11" s="5" t="n">
        <f aca="false">AVERAGE(C11:E11)</f>
        <v>79</v>
      </c>
      <c r="H11" s="2" t="str">
        <f aca="false">IF(G11&gt;=85,"5",IF(G11&gt;=70,"4","3"))</f>
        <v>4</v>
      </c>
      <c r="I11" s="2" t="n">
        <f aca="false">RANK(F11,$F$2:$F$16)</f>
        <v>8</v>
      </c>
    </row>
    <row r="12" customFormat="false" ht="15" hidden="false" customHeight="false" outlineLevel="0" collapsed="false">
      <c r="A12" s="2" t="n">
        <v>11</v>
      </c>
      <c r="B12" s="3" t="s">
        <v>19</v>
      </c>
      <c r="C12" s="4" t="n">
        <v>70</v>
      </c>
      <c r="D12" s="4" t="n">
        <v>68</v>
      </c>
      <c r="E12" s="4" t="n">
        <v>72</v>
      </c>
      <c r="F12" s="4" t="n">
        <f aca="false">SUM(C12:E12)</f>
        <v>210</v>
      </c>
      <c r="G12" s="5" t="n">
        <f aca="false">AVERAGE(C12:E12)</f>
        <v>70</v>
      </c>
      <c r="H12" s="2" t="str">
        <f aca="false">IF(G12&gt;=85,"5",IF(G12&gt;=70,"4","3"))</f>
        <v>4</v>
      </c>
      <c r="I12" s="2" t="n">
        <f aca="false">RANK(F12,$F$2:$F$16)</f>
        <v>11</v>
      </c>
    </row>
    <row r="13" customFormat="false" ht="15" hidden="false" customHeight="false" outlineLevel="0" collapsed="false">
      <c r="A13" s="2" t="n">
        <v>12</v>
      </c>
      <c r="B13" s="3" t="s">
        <v>20</v>
      </c>
      <c r="C13" s="4" t="n">
        <v>90</v>
      </c>
      <c r="D13" s="4" t="n">
        <v>92</v>
      </c>
      <c r="E13" s="4" t="n">
        <v>94</v>
      </c>
      <c r="F13" s="4" t="n">
        <f aca="false">SUM(C13:E13)</f>
        <v>276</v>
      </c>
      <c r="G13" s="5" t="n">
        <f aca="false">AVERAGE(C13:E13)</f>
        <v>92</v>
      </c>
      <c r="H13" s="2" t="str">
        <f aca="false">IF(G13&gt;=85,"5",IF(G13&gt;=70,"4","3"))</f>
        <v>5</v>
      </c>
      <c r="I13" s="2" t="n">
        <f aca="false">RANK(F13,$F$2:$F$16)</f>
        <v>3</v>
      </c>
    </row>
    <row r="14" customFormat="false" ht="15" hidden="false" customHeight="false" outlineLevel="0" collapsed="false">
      <c r="A14" s="2" t="n">
        <v>13</v>
      </c>
      <c r="B14" s="3" t="s">
        <v>21</v>
      </c>
      <c r="C14" s="4" t="n">
        <v>75</v>
      </c>
      <c r="D14" s="4" t="n">
        <v>78</v>
      </c>
      <c r="E14" s="4" t="n">
        <v>80</v>
      </c>
      <c r="F14" s="4" t="n">
        <f aca="false">SUM(C14:E14)</f>
        <v>233</v>
      </c>
      <c r="G14" s="5" t="n">
        <f aca="false">AVERAGE(C14:E14)</f>
        <v>77.6666666666667</v>
      </c>
      <c r="H14" s="2" t="str">
        <f aca="false">IF(G14&gt;=85,"5",IF(G14&gt;=70,"4","3"))</f>
        <v>4</v>
      </c>
      <c r="I14" s="2" t="n">
        <f aca="false">RANK(F14,$F$2:$F$16)</f>
        <v>9</v>
      </c>
    </row>
    <row r="15" customFormat="false" ht="15" hidden="false" customHeight="false" outlineLevel="0" collapsed="false">
      <c r="A15" s="2" t="n">
        <v>14</v>
      </c>
      <c r="B15" s="3" t="s">
        <v>22</v>
      </c>
      <c r="C15" s="4" t="n">
        <v>62</v>
      </c>
      <c r="D15" s="4" t="n">
        <v>58</v>
      </c>
      <c r="E15" s="4" t="n">
        <v>65</v>
      </c>
      <c r="F15" s="4" t="n">
        <f aca="false">SUM(C15:E15)</f>
        <v>185</v>
      </c>
      <c r="G15" s="5" t="n">
        <f aca="false">AVERAGE(C15:E15)</f>
        <v>61.6666666666667</v>
      </c>
      <c r="H15" s="2" t="str">
        <f aca="false">IF(G15&gt;=85,"5",IF(G15&gt;=70,"4","3"))</f>
        <v>3</v>
      </c>
      <c r="I15" s="2" t="n">
        <f aca="false">RANK(F15,$F$2:$F$16)</f>
        <v>14</v>
      </c>
    </row>
    <row r="16" customFormat="false" ht="15" hidden="false" customHeight="false" outlineLevel="0" collapsed="false">
      <c r="A16" s="2" t="n">
        <v>15</v>
      </c>
      <c r="B16" s="3" t="s">
        <v>23</v>
      </c>
      <c r="C16" s="4" t="n">
        <v>98</v>
      </c>
      <c r="D16" s="4" t="n">
        <v>95</v>
      </c>
      <c r="E16" s="4" t="n">
        <v>100</v>
      </c>
      <c r="F16" s="4" t="n">
        <f aca="false">SUM(C16:E16)</f>
        <v>293</v>
      </c>
      <c r="G16" s="5" t="n">
        <f aca="false">AVERAGE(C16:E16)</f>
        <v>97.6666666666667</v>
      </c>
      <c r="H16" s="2" t="str">
        <f aca="false">IF(G16&gt;=85,"5",IF(G16&gt;=70,"4","3"))</f>
        <v>5</v>
      </c>
      <c r="I16" s="2" t="n">
        <f aca="false">RANK(F16,$F$2:$F$16)</f>
        <v>1</v>
      </c>
    </row>
    <row r="18" customFormat="false" ht="15" hidden="false" customHeight="false" outlineLevel="0" collapsed="false">
      <c r="A18" s="6" t="s">
        <v>24</v>
      </c>
    </row>
    <row r="19" customFormat="false" ht="15" hidden="false" customHeight="false" outlineLevel="0" collapsed="false">
      <c r="A19" s="7" t="s">
        <v>25</v>
      </c>
      <c r="B19" s="8" t="n">
        <f aca="false">SUM(F2:F16)</f>
        <v>3541</v>
      </c>
    </row>
    <row r="20" customFormat="false" ht="15" hidden="false" customHeight="false" outlineLevel="0" collapsed="false">
      <c r="A20" s="7" t="s">
        <v>26</v>
      </c>
      <c r="B20" s="9" t="n">
        <f aca="false">AVERAGE(G2:G16)</f>
        <v>78.6888888888889</v>
      </c>
    </row>
    <row r="21" customFormat="false" ht="15" hidden="false" customHeight="false" outlineLevel="0" collapsed="false">
      <c r="A21" s="7" t="s">
        <v>27</v>
      </c>
      <c r="B21" s="9" t="n">
        <f aca="false">MEDIAN(G2:G16)</f>
        <v>79</v>
      </c>
    </row>
    <row r="22" customFormat="false" ht="15" hidden="false" customHeight="false" outlineLevel="0" collapsed="false">
      <c r="A22" s="7" t="s">
        <v>28</v>
      </c>
      <c r="B22" s="9" t="str">
        <f aca="false">IFERROR(_xlfn.MODE.SNGL(G2:G16),"Нет повторяющихся значений")</f>
        <v>Нет повторяющихся значений</v>
      </c>
    </row>
    <row r="23" customFormat="false" ht="15" hidden="false" customHeight="false" outlineLevel="0" collapsed="false">
      <c r="A23" s="7" t="s">
        <v>29</v>
      </c>
      <c r="B23" s="8" t="n">
        <f aca="false">MIN(F2:F16)</f>
        <v>173</v>
      </c>
    </row>
    <row r="24" customFormat="false" ht="15" hidden="false" customHeight="false" outlineLevel="0" collapsed="false">
      <c r="A24" s="7" t="s">
        <v>30</v>
      </c>
      <c r="B24" s="8" t="n">
        <f aca="false">MAX(F2:F16)</f>
        <v>293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7"/>
    <col collapsed="false" customWidth="true" hidden="false" outlineLevel="0" max="8" min="8" style="0" width="8"/>
  </cols>
  <sheetData>
    <row r="1" customFormat="false" ht="15" hidden="false" customHeight="false" outlineLevel="0" collapsed="false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8</v>
      </c>
    </row>
    <row r="2" customFormat="false" ht="15" hidden="false" customHeight="false" outlineLevel="0" collapsed="false">
      <c r="A2" s="2" t="n">
        <v>1</v>
      </c>
      <c r="B2" s="3" t="s">
        <v>37</v>
      </c>
      <c r="C2" s="10" t="n">
        <v>45000</v>
      </c>
      <c r="D2" s="2" t="n">
        <v>12</v>
      </c>
      <c r="E2" s="10" t="n">
        <f aca="false">C2*D2</f>
        <v>540000</v>
      </c>
      <c r="F2" s="2" t="str">
        <f aca="false">IF(E2&gt;100000,"Топ",IF(E2&gt;50000,"Средний","Низкий"))</f>
        <v>Топ</v>
      </c>
      <c r="G2" s="11" t="n">
        <f aca="false">E2/$E$17</f>
        <v>0.286001800752079</v>
      </c>
      <c r="H2" s="2" t="n">
        <f aca="false">RANK(E2,$E$2:$E$16)</f>
        <v>1</v>
      </c>
    </row>
    <row r="3" customFormat="false" ht="15" hidden="false" customHeight="false" outlineLevel="0" collapsed="false">
      <c r="A3" s="2" t="n">
        <v>2</v>
      </c>
      <c r="B3" s="3" t="s">
        <v>38</v>
      </c>
      <c r="C3" s="10" t="n">
        <v>18000</v>
      </c>
      <c r="D3" s="2" t="n">
        <v>25</v>
      </c>
      <c r="E3" s="10" t="n">
        <f aca="false">C3*D3</f>
        <v>450000</v>
      </c>
      <c r="F3" s="2" t="str">
        <f aca="false">IF(E3&gt;100000,"Топ",IF(E3&gt;50000,"Средний","Низкий"))</f>
        <v>Топ</v>
      </c>
      <c r="G3" s="11" t="n">
        <f aca="false">E3/$E$17</f>
        <v>0.238334833960066</v>
      </c>
      <c r="H3" s="2" t="n">
        <f aca="false">RANK(E3,$E$2:$E$16)</f>
        <v>2</v>
      </c>
    </row>
    <row r="4" customFormat="false" ht="15" hidden="false" customHeight="false" outlineLevel="0" collapsed="false">
      <c r="A4" s="2" t="n">
        <v>3</v>
      </c>
      <c r="B4" s="3" t="s">
        <v>39</v>
      </c>
      <c r="C4" s="10" t="n">
        <v>1500</v>
      </c>
      <c r="D4" s="2" t="n">
        <v>60</v>
      </c>
      <c r="E4" s="10" t="n">
        <f aca="false">C4*D4</f>
        <v>90000</v>
      </c>
      <c r="F4" s="2" t="str">
        <f aca="false">IF(E4&gt;100000,"Топ",IF(E4&gt;50000,"Средний","Низкий"))</f>
        <v>Средний</v>
      </c>
      <c r="G4" s="11" t="n">
        <f aca="false">E4/$E$17</f>
        <v>0.0476669667920131</v>
      </c>
      <c r="H4" s="2" t="n">
        <f aca="false">RANK(E4,$E$2:$E$16)</f>
        <v>5</v>
      </c>
    </row>
    <row r="5" customFormat="false" ht="15" hidden="false" customHeight="false" outlineLevel="0" collapsed="false">
      <c r="A5" s="2" t="n">
        <v>4</v>
      </c>
      <c r="B5" s="3" t="s">
        <v>40</v>
      </c>
      <c r="C5" s="10" t="n">
        <v>800</v>
      </c>
      <c r="D5" s="2" t="n">
        <v>85</v>
      </c>
      <c r="E5" s="10" t="n">
        <f aca="false">C5*D5</f>
        <v>68000</v>
      </c>
      <c r="F5" s="2" t="str">
        <f aca="false">IF(E5&gt;100000,"Топ",IF(E5&gt;50000,"Средний","Низкий"))</f>
        <v>Средний</v>
      </c>
      <c r="G5" s="11" t="n">
        <f aca="false">E5/$E$17</f>
        <v>0.0360150415761877</v>
      </c>
      <c r="H5" s="2" t="n">
        <f aca="false">RANK(E5,$E$2:$E$16)</f>
        <v>9</v>
      </c>
    </row>
    <row r="6" customFormat="false" ht="15" hidden="false" customHeight="false" outlineLevel="0" collapsed="false">
      <c r="A6" s="2" t="n">
        <v>5</v>
      </c>
      <c r="B6" s="3" t="s">
        <v>41</v>
      </c>
      <c r="C6" s="10" t="n">
        <v>12000</v>
      </c>
      <c r="D6" s="2" t="n">
        <v>8</v>
      </c>
      <c r="E6" s="10" t="n">
        <f aca="false">C6*D6</f>
        <v>96000</v>
      </c>
      <c r="F6" s="2" t="str">
        <f aca="false">IF(E6&gt;100000,"Топ",IF(E6&gt;50000,"Средний","Низкий"))</f>
        <v>Средний</v>
      </c>
      <c r="G6" s="11" t="n">
        <f aca="false">E6/$E$17</f>
        <v>0.0508447645781473</v>
      </c>
      <c r="H6" s="2" t="n">
        <f aca="false">RANK(E6,$E$2:$E$16)</f>
        <v>4</v>
      </c>
    </row>
    <row r="7" customFormat="false" ht="15" hidden="false" customHeight="false" outlineLevel="0" collapsed="false">
      <c r="A7" s="2" t="n">
        <v>6</v>
      </c>
      <c r="B7" s="3" t="s">
        <v>42</v>
      </c>
      <c r="C7" s="10" t="n">
        <v>9000</v>
      </c>
      <c r="D7" s="2" t="n">
        <v>6</v>
      </c>
      <c r="E7" s="10" t="n">
        <f aca="false">C7*D7</f>
        <v>54000</v>
      </c>
      <c r="F7" s="2" t="str">
        <f aca="false">IF(E7&gt;100000,"Топ",IF(E7&gt;50000,"Средний","Низкий"))</f>
        <v>Средний</v>
      </c>
      <c r="G7" s="11" t="n">
        <f aca="false">E7/$E$17</f>
        <v>0.0286001800752079</v>
      </c>
      <c r="H7" s="2" t="n">
        <f aca="false">RANK(E7,$E$2:$E$16)</f>
        <v>12</v>
      </c>
    </row>
    <row r="8" customFormat="false" ht="15" hidden="false" customHeight="false" outlineLevel="0" collapsed="false">
      <c r="A8" s="2" t="n">
        <v>7</v>
      </c>
      <c r="B8" s="3" t="s">
        <v>43</v>
      </c>
      <c r="C8" s="10" t="n">
        <v>600</v>
      </c>
      <c r="D8" s="2" t="n">
        <v>120</v>
      </c>
      <c r="E8" s="10" t="n">
        <f aca="false">C8*D8</f>
        <v>72000</v>
      </c>
      <c r="F8" s="2" t="str">
        <f aca="false">IF(E8&gt;100000,"Топ",IF(E8&gt;50000,"Средний","Низкий"))</f>
        <v>Средний</v>
      </c>
      <c r="G8" s="11" t="n">
        <f aca="false">E8/$E$17</f>
        <v>0.0381335734336105</v>
      </c>
      <c r="H8" s="2" t="n">
        <f aca="false">RANK(E8,$E$2:$E$16)</f>
        <v>7</v>
      </c>
    </row>
    <row r="9" customFormat="false" ht="15" hidden="false" customHeight="false" outlineLevel="0" collapsed="false">
      <c r="A9" s="2" t="n">
        <v>8</v>
      </c>
      <c r="B9" s="3" t="s">
        <v>44</v>
      </c>
      <c r="C9" s="10" t="n">
        <v>5500</v>
      </c>
      <c r="D9" s="2" t="n">
        <v>15</v>
      </c>
      <c r="E9" s="10" t="n">
        <f aca="false">C9*D9</f>
        <v>82500</v>
      </c>
      <c r="F9" s="2" t="str">
        <f aca="false">IF(E9&gt;100000,"Топ",IF(E9&gt;50000,"Средний","Низкий"))</f>
        <v>Средний</v>
      </c>
      <c r="G9" s="11" t="n">
        <f aca="false">E9/$E$17</f>
        <v>0.0436947195593454</v>
      </c>
      <c r="H9" s="2" t="n">
        <f aca="false">RANK(E9,$E$2:$E$16)</f>
        <v>6</v>
      </c>
    </row>
    <row r="10" customFormat="false" ht="15" hidden="false" customHeight="false" outlineLevel="0" collapsed="false">
      <c r="A10" s="2" t="n">
        <v>9</v>
      </c>
      <c r="B10" s="3" t="s">
        <v>45</v>
      </c>
      <c r="C10" s="10" t="n">
        <v>2800</v>
      </c>
      <c r="D10" s="2" t="n">
        <v>22</v>
      </c>
      <c r="E10" s="10" t="n">
        <f aca="false">C10*D10</f>
        <v>61600</v>
      </c>
      <c r="F10" s="2" t="str">
        <f aca="false">IF(E10&gt;100000,"Топ",IF(E10&gt;50000,"Средний","Низкий"))</f>
        <v>Средний</v>
      </c>
      <c r="G10" s="11" t="n">
        <f aca="false">E10/$E$17</f>
        <v>0.0326253906043112</v>
      </c>
      <c r="H10" s="2" t="n">
        <f aca="false">RANK(E10,$E$2:$E$16)</f>
        <v>11</v>
      </c>
    </row>
    <row r="11" customFormat="false" ht="15" hidden="false" customHeight="false" outlineLevel="0" collapsed="false">
      <c r="A11" s="2" t="n">
        <v>10</v>
      </c>
      <c r="B11" s="3" t="s">
        <v>46</v>
      </c>
      <c r="C11" s="10" t="n">
        <v>3200</v>
      </c>
      <c r="D11" s="2" t="n">
        <v>35</v>
      </c>
      <c r="E11" s="10" t="n">
        <f aca="false">C11*D11</f>
        <v>112000</v>
      </c>
      <c r="F11" s="2" t="str">
        <f aca="false">IF(E11&gt;100000,"Топ",IF(E11&gt;50000,"Средний","Низкий"))</f>
        <v>Топ</v>
      </c>
      <c r="G11" s="11" t="n">
        <f aca="false">E11/$E$17</f>
        <v>0.0593188920078386</v>
      </c>
      <c r="H11" s="2" t="n">
        <f aca="false">RANK(E11,$E$2:$E$16)</f>
        <v>3</v>
      </c>
    </row>
    <row r="12" customFormat="false" ht="15" hidden="false" customHeight="false" outlineLevel="0" collapsed="false">
      <c r="A12" s="2" t="n">
        <v>11</v>
      </c>
      <c r="B12" s="3" t="s">
        <v>47</v>
      </c>
      <c r="C12" s="10" t="n">
        <v>400</v>
      </c>
      <c r="D12" s="2" t="n">
        <v>90</v>
      </c>
      <c r="E12" s="10" t="n">
        <f aca="false">C12*D12</f>
        <v>36000</v>
      </c>
      <c r="F12" s="2" t="str">
        <f aca="false">IF(E12&gt;100000,"Топ",IF(E12&gt;50000,"Средний","Низкий"))</f>
        <v>Низкий</v>
      </c>
      <c r="G12" s="11" t="n">
        <f aca="false">E12/$E$17</f>
        <v>0.0190667867168053</v>
      </c>
      <c r="H12" s="2" t="n">
        <f aca="false">RANK(E12,$E$2:$E$16)</f>
        <v>15</v>
      </c>
    </row>
    <row r="13" customFormat="false" ht="15" hidden="false" customHeight="false" outlineLevel="0" collapsed="false">
      <c r="A13" s="2" t="n">
        <v>12</v>
      </c>
      <c r="B13" s="3" t="s">
        <v>48</v>
      </c>
      <c r="C13" s="10" t="n">
        <v>1200</v>
      </c>
      <c r="D13" s="2" t="n">
        <v>40</v>
      </c>
      <c r="E13" s="10" t="n">
        <f aca="false">C13*D13</f>
        <v>48000</v>
      </c>
      <c r="F13" s="2" t="str">
        <f aca="false">IF(E13&gt;100000,"Топ",IF(E13&gt;50000,"Средний","Низкий"))</f>
        <v>Низкий</v>
      </c>
      <c r="G13" s="11" t="n">
        <f aca="false">E13/$E$17</f>
        <v>0.0254223822890737</v>
      </c>
      <c r="H13" s="2" t="n">
        <f aca="false">RANK(E13,$E$2:$E$16)</f>
        <v>13</v>
      </c>
    </row>
    <row r="14" customFormat="false" ht="15" hidden="false" customHeight="false" outlineLevel="0" collapsed="false">
      <c r="A14" s="2" t="n">
        <v>13</v>
      </c>
      <c r="B14" s="3" t="s">
        <v>49</v>
      </c>
      <c r="C14" s="10" t="n">
        <v>2500</v>
      </c>
      <c r="D14" s="2" t="n">
        <v>18</v>
      </c>
      <c r="E14" s="10" t="n">
        <f aca="false">C14*D14</f>
        <v>45000</v>
      </c>
      <c r="F14" s="2" t="str">
        <f aca="false">IF(E14&gt;100000,"Топ",IF(E14&gt;50000,"Средний","Низкий"))</f>
        <v>Низкий</v>
      </c>
      <c r="G14" s="11" t="n">
        <f aca="false">E14/$E$17</f>
        <v>0.0238334833960066</v>
      </c>
      <c r="H14" s="2" t="n">
        <f aca="false">RANK(E14,$E$2:$E$16)</f>
        <v>14</v>
      </c>
    </row>
    <row r="15" customFormat="false" ht="15" hidden="false" customHeight="false" outlineLevel="0" collapsed="false">
      <c r="A15" s="2" t="n">
        <v>14</v>
      </c>
      <c r="B15" s="3" t="s">
        <v>50</v>
      </c>
      <c r="C15" s="10" t="n">
        <v>350</v>
      </c>
      <c r="D15" s="2" t="n">
        <v>200</v>
      </c>
      <c r="E15" s="10" t="n">
        <f aca="false">C15*D15</f>
        <v>70000</v>
      </c>
      <c r="F15" s="2" t="str">
        <f aca="false">IF(E15&gt;100000,"Топ",IF(E15&gt;50000,"Средний","Низкий"))</f>
        <v>Средний</v>
      </c>
      <c r="G15" s="11" t="n">
        <f aca="false">E15/$E$17</f>
        <v>0.0370743075048991</v>
      </c>
      <c r="H15" s="2" t="n">
        <f aca="false">RANK(E15,$E$2:$E$16)</f>
        <v>8</v>
      </c>
    </row>
    <row r="16" customFormat="false" ht="15" hidden="false" customHeight="false" outlineLevel="0" collapsed="false">
      <c r="A16" s="2" t="n">
        <v>15</v>
      </c>
      <c r="B16" s="3" t="s">
        <v>51</v>
      </c>
      <c r="C16" s="10" t="n">
        <v>4500</v>
      </c>
      <c r="D16" s="2" t="n">
        <v>14</v>
      </c>
      <c r="E16" s="10" t="n">
        <f aca="false">C16*D16</f>
        <v>63000</v>
      </c>
      <c r="F16" s="2" t="str">
        <f aca="false">IF(E16&gt;100000,"Топ",IF(E16&gt;50000,"Средний","Низкий"))</f>
        <v>Средний</v>
      </c>
      <c r="G16" s="11" t="n">
        <f aca="false">E16/$E$17</f>
        <v>0.0333668767544092</v>
      </c>
      <c r="H16" s="2" t="n">
        <f aca="false">RANK(E16,$E$2:$E$16)</f>
        <v>10</v>
      </c>
    </row>
    <row r="17" customFormat="false" ht="15" hidden="false" customHeight="false" outlineLevel="0" collapsed="false">
      <c r="A17" s="2"/>
      <c r="B17" s="12" t="s">
        <v>52</v>
      </c>
      <c r="C17" s="10"/>
      <c r="D17" s="2"/>
      <c r="E17" s="13" t="n">
        <f aca="false">SUM(E2:E16)</f>
        <v>1888100</v>
      </c>
      <c r="F17" s="2"/>
      <c r="G17" s="2"/>
      <c r="H17" s="2"/>
    </row>
    <row r="19" customFormat="false" ht="15" hidden="false" customHeight="false" outlineLevel="0" collapsed="false">
      <c r="A19" s="6" t="s">
        <v>53</v>
      </c>
    </row>
    <row r="20" customFormat="false" ht="15" hidden="false" customHeight="false" outlineLevel="0" collapsed="false">
      <c r="A20" s="7" t="s">
        <v>54</v>
      </c>
      <c r="C20" s="14" t="n">
        <f aca="false">SUM(E2:E16)</f>
        <v>1888100</v>
      </c>
    </row>
    <row r="21" customFormat="false" ht="15" hidden="false" customHeight="false" outlineLevel="0" collapsed="false">
      <c r="A21" s="7" t="s">
        <v>55</v>
      </c>
      <c r="C21" s="14" t="n">
        <f aca="false">AVERAGE(E2:E16)</f>
        <v>125873.333333333</v>
      </c>
    </row>
    <row r="22" customFormat="false" ht="15" hidden="false" customHeight="false" outlineLevel="0" collapsed="false">
      <c r="A22" s="7" t="s">
        <v>56</v>
      </c>
      <c r="C22" s="14" t="n">
        <f aca="false">MEDIAN(E2:E16)</f>
        <v>70000</v>
      </c>
    </row>
    <row r="23" customFormat="false" ht="15" hidden="false" customHeight="false" outlineLevel="0" collapsed="false">
      <c r="A23" s="7" t="s">
        <v>57</v>
      </c>
      <c r="C23" s="14" t="str">
        <f aca="false">IFERROR(_xlfn.MODE.SNGL(E2:E16),"Нет повторяющихся значений")</f>
        <v>Нет повторяющихся значений</v>
      </c>
    </row>
    <row r="24" customFormat="false" ht="15" hidden="false" customHeight="false" outlineLevel="0" collapsed="false">
      <c r="A24" s="7" t="s">
        <v>58</v>
      </c>
      <c r="C24" s="14" t="n">
        <f aca="false">MIN(E2:E16)</f>
        <v>36000</v>
      </c>
    </row>
    <row r="25" customFormat="false" ht="15" hidden="false" customHeight="false" outlineLevel="0" collapsed="false">
      <c r="A25" s="7" t="s">
        <v>59</v>
      </c>
      <c r="C25" s="14" t="n">
        <f aca="false">MAX(E2:E16)</f>
        <v>540000</v>
      </c>
    </row>
    <row r="26" customFormat="false" ht="15" hidden="false" customHeight="false" outlineLevel="0" collapsed="false">
      <c r="A26" s="7" t="s">
        <v>60</v>
      </c>
      <c r="C26" s="14" t="n">
        <f aca="false">_xlfn.STDEV.S(E2:E16)</f>
        <v>152155.317576044</v>
      </c>
    </row>
    <row r="27" customFormat="false" ht="15" hidden="false" customHeight="false" outlineLevel="0" collapsed="false">
      <c r="A27" s="7" t="s">
        <v>61</v>
      </c>
      <c r="C27" s="14" t="n">
        <f aca="false">_xlfn.VAR.S(E2:E16)</f>
        <v>23151240666.6667</v>
      </c>
    </row>
    <row r="28" customFormat="false" ht="15" hidden="false" customHeight="false" outlineLevel="0" collapsed="false">
      <c r="A28" s="7" t="s">
        <v>62</v>
      </c>
      <c r="C28" s="8" t="n">
        <f aca="false">COUNTIF(F2:F16,"Топ")</f>
        <v>3</v>
      </c>
    </row>
    <row r="29" customFormat="false" ht="15" hidden="false" customHeight="false" outlineLevel="0" collapsed="false">
      <c r="A29" s="7" t="s">
        <v>63</v>
      </c>
      <c r="C29" s="14" t="n">
        <f aca="false">SUMIF(F2:F16,"Топ",E2:E16)</f>
        <v>1102000</v>
      </c>
    </row>
    <row r="30" customFormat="false" ht="15" hidden="false" customHeight="false" outlineLevel="0" collapsed="false">
      <c r="A30" s="7" t="s">
        <v>64</v>
      </c>
      <c r="C30" s="14" t="n">
        <f aca="false">AVERAGEIF(F2:F16,"Средний",E2:E16)</f>
        <v>73011.1111111111</v>
      </c>
    </row>
    <row r="31" customFormat="false" ht="15" hidden="false" customHeight="false" outlineLevel="0" collapsed="false">
      <c r="A31" s="7" t="s">
        <v>65</v>
      </c>
      <c r="C31" s="15" t="n">
        <f aca="false">CORREL(C2:C16,D2:D16)</f>
        <v>-0.39694833806521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2026-09-28T07:40:29Z</dcterms:created>
  <dc:creator>openpyxl</dc:creator>
  <dc:description/>
  <dc:language>en-US</dc:language>
  <cp:lastModifiedBy/>
  <dcterms:modified xsi:type="dcterms:W3CDTF">2026-09-28T07:40:29Z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